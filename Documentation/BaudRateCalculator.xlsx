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ud Rate Calc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<sst xmlns="http://schemas.openxmlformats.org/spreadsheetml/2006/main" count="23" uniqueCount="14">
  <si>
    <t xml:space="preserve">ATmega328 Baud Rate Calculator</t>
  </si>
  <si>
    <t xml:space="preserve">Single Speed Communications</t>
  </si>
  <si>
    <t xml:space="preserve">Double Speed Communications</t>
  </si>
  <si>
    <t xml:space="preserve">F_CPU</t>
  </si>
  <si>
    <t xml:space="preserve">Baud Rate</t>
  </si>
  <si>
    <t xml:space="preserve">UBRR0</t>
  </si>
  <si>
    <t xml:space="preserve">Actual Baud</t>
  </si>
  <si>
    <t xml:space="preserve">Error%</t>
  </si>
  <si>
    <t xml:space="preserve">N/A</t>
  </si>
  <si>
    <t xml:space="preserve">The UBRR0 figures are the values to load into the UBRR0 register. Values between 0 and 4095 are permitted. </t>
  </si>
  <si>
    <r>
      <rPr>
        <sz val="10"/>
        <rFont val="Arial"/>
        <family val="2"/>
      </rPr>
      <t xml:space="preserve">Try to avoid using values where the error percentage values are outside the permitted error range of plus or minus 0.5%.  The data sheet advises that: </t>
    </r>
    <r>
      <rPr>
        <i val="true"/>
        <sz val="10"/>
        <rFont val="Arial"/>
        <family val="2"/>
      </rPr>
      <t xml:space="preserve">Higher error ratings are acceptable, but the Receiver will have less noise resistance when the error ratings are high, especially for large serial frames.</t>
    </r>
  </si>
  <si>
    <t xml:space="preserve">UBRR0 Checker</t>
  </si>
  <si>
    <t xml:space="preserve">Single Speed Baud Rate</t>
  </si>
  <si>
    <t xml:space="preserve">Double Speed Baud Rate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</si>
</sst>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"/>
    <numFmt numFmtId="167" formatCode="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</font>
    <font>
      <b val="true"/>
      <sz val="10"/>
      <name val="Arial"/>
      <family val="2"/>
    </font>
    <font>
      <i val="true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BF00"/>
        <bgColor rgb="FFFF8000"/>
      </patternFill>
    </fill>
    <fill>
      <patternFill patternType="solid">
        <fgColor rgb="FFFF8000"/>
        <bgColor rgb="FFFF6600"/>
      </patternFill>
    </fill>
    <fill>
      <patternFill patternType="solid">
        <fgColor rgb="FFFFFF00"/>
        <bgColor rgb="FFFFFF00"/>
      </patternFill>
    </fill>
    <fill>
      <patternFill patternType="solid">
        <fgColor rgb="FFBBE33D"/>
        <bgColor rgb="FFFFFF00"/>
      </patternFill>
    </fill>
    <fill>
      <patternFill patternType="solid">
        <fgColor rgb="FFB4C7DC"/>
        <bgColor rgb="FFCCCC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5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BF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I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4" activeCellId="0" sqref="I24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8.06"/>
    <col collapsed="false" customWidth="true" hidden="false" outlineLevel="0" max="4" min="4" style="0" width="11.99"/>
    <col collapsed="false" customWidth="true" hidden="false" outlineLevel="0" max="5" min="5" style="0" width="10.28"/>
    <col collapsed="false" customWidth="true" hidden="false" outlineLevel="0" max="6" min="6" style="0" width="8.06"/>
    <col collapsed="false" customWidth="true" hidden="false" outlineLevel="0" max="7" min="7" style="0" width="11.94"/>
    <col collapsed="false" customWidth="true" hidden="false" outlineLevel="0" max="8" min="8" style="0" width="10.28"/>
  </cols>
  <sheetData>
    <row r="2" customFormat="false" ht="24.4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4" customFormat="false" ht="12.8" hidden="false" customHeight="false" outlineLevel="0" collapsed="false">
      <c r="C4" s="2" t="s">
        <v>1</v>
      </c>
      <c r="D4" s="2"/>
      <c r="E4" s="2"/>
      <c r="F4" s="3" t="s">
        <v>2</v>
      </c>
      <c r="G4" s="3"/>
      <c r="H4" s="3"/>
    </row>
    <row r="5" customFormat="false" ht="12.8" hidden="false" customHeight="false" outlineLevel="0" collapsed="false">
      <c r="A5" s="4" t="s">
        <v>3</v>
      </c>
      <c r="B5" s="4" t="s">
        <v>4</v>
      </c>
      <c r="C5" s="5" t="s">
        <v>5</v>
      </c>
      <c r="D5" s="6" t="s">
        <v>6</v>
      </c>
      <c r="E5" s="6" t="s">
        <v>7</v>
      </c>
      <c r="F5" s="7" t="s">
        <v>5</v>
      </c>
      <c r="G5" s="8" t="s">
        <v>6</v>
      </c>
      <c r="H5" s="9" t="s">
        <v>7</v>
      </c>
      <c r="I5" s="10"/>
    </row>
    <row r="6" customFormat="false" ht="12.8" hidden="false" customHeight="false" outlineLevel="0" collapsed="false">
      <c r="A6" s="11" t="n">
        <v>16000000</v>
      </c>
      <c r="B6" s="12" t="n">
        <v>300</v>
      </c>
      <c r="C6" s="13" t="n">
        <f aca="false">INT(($A$6/(16*B6)))-1</f>
        <v>3332</v>
      </c>
      <c r="D6" s="14" t="n">
        <f aca="false">INT($A$6/(16*(C6+1)))</f>
        <v>300</v>
      </c>
      <c r="E6" s="15" t="n">
        <f aca="false">((D6/B6)-1)*100</f>
        <v>0</v>
      </c>
      <c r="F6" s="16" t="s">
        <v>8</v>
      </c>
      <c r="G6" s="17" t="s">
        <v>8</v>
      </c>
      <c r="H6" s="18" t="s">
        <v>8</v>
      </c>
    </row>
    <row r="7" customFormat="false" ht="12.8" hidden="false" customHeight="false" outlineLevel="0" collapsed="false">
      <c r="B7" s="12" t="n">
        <v>1200</v>
      </c>
      <c r="C7" s="19" t="n">
        <f aca="false">INT(($A$6/(16*B7)))-1</f>
        <v>832</v>
      </c>
      <c r="D7" s="20" t="n">
        <f aca="false">INT($A$6/(16*(C7+1)))</f>
        <v>1200</v>
      </c>
      <c r="E7" s="21" t="n">
        <f aca="false">((D7/B7)-1)*100</f>
        <v>0</v>
      </c>
      <c r="F7" s="19" t="n">
        <f aca="false">INT(($A$6/(8*B7))-1)</f>
        <v>1665</v>
      </c>
      <c r="G7" s="20" t="n">
        <f aca="false">INT($A$6/(8*(F7+1)))</f>
        <v>1200</v>
      </c>
      <c r="H7" s="21" t="n">
        <f aca="false">((G7/B7)-1)*100</f>
        <v>0</v>
      </c>
    </row>
    <row r="8" customFormat="false" ht="12.8" hidden="false" customHeight="false" outlineLevel="0" collapsed="false">
      <c r="B8" s="22" t="n">
        <v>2400</v>
      </c>
      <c r="C8" s="23" t="n">
        <f aca="false">INT(($A$6/(16*B8)))-1</f>
        <v>415</v>
      </c>
      <c r="D8" s="24" t="n">
        <f aca="false">INT($A$6/(16*(C8+1)))</f>
        <v>2403</v>
      </c>
      <c r="E8" s="25" t="n">
        <f aca="false">((D8/B8)-1)*100</f>
        <v>0.124999999999997</v>
      </c>
      <c r="F8" s="23" t="n">
        <f aca="false">INT(($A$6/(8*B8))-1)</f>
        <v>832</v>
      </c>
      <c r="G8" s="24" t="n">
        <f aca="false">INT($A$6/(8*(F8+1)))</f>
        <v>2400</v>
      </c>
      <c r="H8" s="25" t="n">
        <f aca="false">((G8/B8)-1)*100</f>
        <v>0</v>
      </c>
    </row>
    <row r="9" customFormat="false" ht="12.8" hidden="false" customHeight="false" outlineLevel="0" collapsed="false">
      <c r="B9" s="12" t="n">
        <v>4800</v>
      </c>
      <c r="C9" s="19" t="n">
        <f aca="false">INT(($A$6/(16*B9)))-1</f>
        <v>207</v>
      </c>
      <c r="D9" s="20" t="n">
        <f aca="false">INT($A$6/(16*(C9+1)))</f>
        <v>4807</v>
      </c>
      <c r="E9" s="26" t="n">
        <f aca="false">((D9/B9)-1)*100</f>
        <v>0.145833333333334</v>
      </c>
      <c r="F9" s="19" t="n">
        <f aca="false">INT(($A$6/(8*B9))-1)</f>
        <v>415</v>
      </c>
      <c r="G9" s="20" t="n">
        <f aca="false">INT($A$6/(8*(F9+1)))</f>
        <v>4807</v>
      </c>
      <c r="H9" s="21" t="n">
        <f aca="false">((G9/B9)-1)*100</f>
        <v>0.145833333333334</v>
      </c>
    </row>
    <row r="10" customFormat="false" ht="12.8" hidden="false" customHeight="false" outlineLevel="0" collapsed="false">
      <c r="B10" s="12" t="n">
        <v>9600</v>
      </c>
      <c r="C10" s="19" t="n">
        <f aca="false">INT(($A$6/(16*B10)))-1</f>
        <v>103</v>
      </c>
      <c r="D10" s="20" t="n">
        <f aca="false">INT($A$6/(16*(C10+1)))</f>
        <v>9615</v>
      </c>
      <c r="E10" s="26" t="n">
        <f aca="false">((D10/B10)-1)*100</f>
        <v>0.156249999999991</v>
      </c>
      <c r="F10" s="19" t="n">
        <f aca="false">INT(($A$6/(8*B10))-1)</f>
        <v>207</v>
      </c>
      <c r="G10" s="20" t="n">
        <f aca="false">INT($A$6/(8*(F10+1)))</f>
        <v>9615</v>
      </c>
      <c r="H10" s="21" t="n">
        <f aca="false">((G10/B10)-1)*100</f>
        <v>0.156249999999991</v>
      </c>
    </row>
    <row r="11" customFormat="false" ht="12.8" hidden="false" customHeight="false" outlineLevel="0" collapsed="false">
      <c r="B11" s="22" t="n">
        <v>19200</v>
      </c>
      <c r="C11" s="23" t="n">
        <f aca="false">INT(($A$6/(16*B11)))-1</f>
        <v>51</v>
      </c>
      <c r="D11" s="24" t="n">
        <f aca="false">INT($A$6/(16*(C11+1)))</f>
        <v>19230</v>
      </c>
      <c r="E11" s="27" t="n">
        <f aca="false">((D11/B11)-1)*100</f>
        <v>0.156249999999991</v>
      </c>
      <c r="F11" s="23" t="n">
        <f aca="false">INT(($A$6/(8*B11))-1)</f>
        <v>103</v>
      </c>
      <c r="G11" s="24" t="n">
        <f aca="false">INT($A$6/(8*(F11+1)))</f>
        <v>19230</v>
      </c>
      <c r="H11" s="25" t="n">
        <f aca="false">((G11/B11)-1)*100</f>
        <v>0.156249999999991</v>
      </c>
    </row>
    <row r="12" customFormat="false" ht="12.8" hidden="false" customHeight="false" outlineLevel="0" collapsed="false">
      <c r="B12" s="12" t="n">
        <v>38400</v>
      </c>
      <c r="C12" s="19" t="n">
        <f aca="false">INT(($A$6/(16*B12)))-1</f>
        <v>25</v>
      </c>
      <c r="D12" s="20" t="n">
        <f aca="false">INT($A$6/(16*(C12+1)))</f>
        <v>38461</v>
      </c>
      <c r="E12" s="26" t="n">
        <f aca="false">((D12/B12)-1)*100</f>
        <v>0.158854166666678</v>
      </c>
      <c r="F12" s="19" t="n">
        <f aca="false">INT(($A$6/(8*B12))-1)</f>
        <v>51</v>
      </c>
      <c r="G12" s="20" t="n">
        <f aca="false">INT($A$6/(8*(F12+1)))</f>
        <v>38461</v>
      </c>
      <c r="H12" s="21" t="n">
        <f aca="false">((G12/B12)-1)*100</f>
        <v>0.158854166666678</v>
      </c>
    </row>
    <row r="13" customFormat="false" ht="12.8" hidden="false" customHeight="false" outlineLevel="0" collapsed="false">
      <c r="B13" s="12" t="n">
        <v>57600</v>
      </c>
      <c r="C13" s="19" t="n">
        <f aca="false">INT(($A$6/(16*B13)))-1</f>
        <v>16</v>
      </c>
      <c r="D13" s="20" t="n">
        <f aca="false">INT($A$6/(16*(C13+1)))</f>
        <v>58823</v>
      </c>
      <c r="E13" s="26" t="n">
        <f aca="false">((D13/B13)-1)*100</f>
        <v>2.12326388888888</v>
      </c>
      <c r="F13" s="19" t="n">
        <f aca="false">INT(($A$6/(8*B13))-1)</f>
        <v>33</v>
      </c>
      <c r="G13" s="20" t="n">
        <f aca="false">INT($A$6/(8*(F13+1)))</f>
        <v>58823</v>
      </c>
      <c r="H13" s="21" t="n">
        <f aca="false">((G13/B13)-1)*100</f>
        <v>2.12326388888888</v>
      </c>
    </row>
    <row r="14" customFormat="false" ht="12.8" hidden="false" customHeight="false" outlineLevel="0" collapsed="false">
      <c r="B14" s="22" t="n">
        <v>74880</v>
      </c>
      <c r="C14" s="23" t="n">
        <f aca="false">INT(($A$6/(16*B14)))-1</f>
        <v>12</v>
      </c>
      <c r="D14" s="24" t="n">
        <f aca="false">INT($A$6/(16*(C14+1)))</f>
        <v>76923</v>
      </c>
      <c r="E14" s="27" t="n">
        <f aca="false">((D14/B14)-1)*100</f>
        <v>2.72836538461538</v>
      </c>
      <c r="F14" s="23" t="n">
        <f aca="false">INT(($A$6/(8*B14))-1)</f>
        <v>25</v>
      </c>
      <c r="G14" s="24" t="n">
        <f aca="false">INT($A$6/(8*(F14+1)))</f>
        <v>76923</v>
      </c>
      <c r="H14" s="25" t="n">
        <f aca="false">((G14/B14)-1)*100</f>
        <v>2.72836538461538</v>
      </c>
    </row>
    <row r="15" customFormat="false" ht="12.8" hidden="false" customHeight="false" outlineLevel="0" collapsed="false">
      <c r="B15" s="12" t="n">
        <v>115200</v>
      </c>
      <c r="C15" s="19" t="n">
        <f aca="false">INT(($A$6/(16*B15)))-1</f>
        <v>7</v>
      </c>
      <c r="D15" s="20" t="n">
        <f aca="false">INT($A$6/(16*(C15+1)))</f>
        <v>125000</v>
      </c>
      <c r="E15" s="26" t="n">
        <f aca="false">((D15/B15)-1)*100</f>
        <v>8.50694444444444</v>
      </c>
      <c r="F15" s="19" t="n">
        <f aca="false">INT(($A$6/(8*B15))-1)</f>
        <v>16</v>
      </c>
      <c r="G15" s="20" t="n">
        <f aca="false">INT($A$6/(8*(F15+1)))</f>
        <v>117647</v>
      </c>
      <c r="H15" s="21" t="n">
        <f aca="false">((G15/B15)-1)*100</f>
        <v>2.12413194444445</v>
      </c>
    </row>
    <row r="16" customFormat="false" ht="12.8" hidden="false" customHeight="false" outlineLevel="0" collapsed="false">
      <c r="B16" s="12" t="n">
        <v>230400</v>
      </c>
      <c r="C16" s="19" t="n">
        <f aca="false">INT(($A$6/(16*B16)))-1</f>
        <v>3</v>
      </c>
      <c r="D16" s="20" t="n">
        <f aca="false">INT($A$6/(16*(C16+1)))</f>
        <v>250000</v>
      </c>
      <c r="E16" s="26" t="n">
        <f aca="false">((D16/B16)-1)*100</f>
        <v>8.50694444444444</v>
      </c>
      <c r="F16" s="19" t="n">
        <f aca="false">INT(($A$6/(8*B16))-1)</f>
        <v>7</v>
      </c>
      <c r="G16" s="20" t="n">
        <f aca="false">INT($A$6/(8*(F16+1)))</f>
        <v>250000</v>
      </c>
      <c r="H16" s="21" t="n">
        <f aca="false">((G16/B16)-1)*100</f>
        <v>8.50694444444444</v>
      </c>
    </row>
    <row r="17" customFormat="false" ht="12.8" hidden="false" customHeight="false" outlineLevel="0" collapsed="false">
      <c r="B17" s="22" t="n">
        <v>250000</v>
      </c>
      <c r="C17" s="23" t="n">
        <f aca="false">INT(($A$6/(16*B17)))-1</f>
        <v>3</v>
      </c>
      <c r="D17" s="24" t="n">
        <f aca="false">INT($A$6/(16*(C17+1)))</f>
        <v>250000</v>
      </c>
      <c r="E17" s="27" t="n">
        <f aca="false">((D17/B17)-1)*100</f>
        <v>0</v>
      </c>
      <c r="F17" s="23" t="n">
        <f aca="false">INT(($A$6/(8*B17))-1)</f>
        <v>7</v>
      </c>
      <c r="G17" s="24" t="n">
        <f aca="false">INT($A$6/(8*(F17+1)))</f>
        <v>250000</v>
      </c>
      <c r="H17" s="25" t="n">
        <f aca="false">((G17/B17)-1)*100</f>
        <v>0</v>
      </c>
    </row>
    <row r="18" customFormat="false" ht="12.8" hidden="false" customHeight="false" outlineLevel="0" collapsed="false">
      <c r="B18" s="12" t="n">
        <v>500000</v>
      </c>
      <c r="C18" s="19" t="n">
        <f aca="false">INT(($A$6/(16*B18)))-1</f>
        <v>1</v>
      </c>
      <c r="D18" s="20" t="n">
        <f aca="false">INT($A$6/(16*(C18+1)))</f>
        <v>500000</v>
      </c>
      <c r="E18" s="26" t="n">
        <f aca="false">((D18/B18)-1)*100</f>
        <v>0</v>
      </c>
      <c r="F18" s="19" t="n">
        <f aca="false">INT(($A$6/(8*B18))-1)</f>
        <v>3</v>
      </c>
      <c r="G18" s="20" t="n">
        <f aca="false">INT($A$6/(8*(F18+1)))</f>
        <v>500000</v>
      </c>
      <c r="H18" s="21" t="n">
        <f aca="false">((G18/B18)-1)*100</f>
        <v>0</v>
      </c>
    </row>
    <row r="19" customFormat="false" ht="12.8" hidden="false" customHeight="false" outlineLevel="0" collapsed="false">
      <c r="B19" s="12" t="n">
        <v>1000000</v>
      </c>
      <c r="C19" s="19" t="n">
        <f aca="false">INT(($A$6/(16*B19)))-1</f>
        <v>0</v>
      </c>
      <c r="D19" s="20" t="n">
        <f aca="false">INT($A$6/(16*(C19+1)))</f>
        <v>1000000</v>
      </c>
      <c r="E19" s="26" t="n">
        <f aca="false">((D19/B19)-1)*100</f>
        <v>0</v>
      </c>
      <c r="F19" s="19" t="n">
        <f aca="false">INT(($A$6/(8*B19))-1)</f>
        <v>1</v>
      </c>
      <c r="G19" s="20" t="n">
        <f aca="false">INT($A$6/(8*(F19+1)))</f>
        <v>1000000</v>
      </c>
      <c r="H19" s="21" t="n">
        <f aca="false">((G19/B19)-1)*100</f>
        <v>0</v>
      </c>
    </row>
    <row r="20" customFormat="false" ht="12.8" hidden="false" customHeight="false" outlineLevel="0" collapsed="false">
      <c r="B20" s="22" t="n">
        <v>2000000</v>
      </c>
      <c r="C20" s="28" t="s">
        <v>8</v>
      </c>
      <c r="D20" s="29" t="s">
        <v>8</v>
      </c>
      <c r="E20" s="29" t="s">
        <v>8</v>
      </c>
      <c r="F20" s="23" t="n">
        <f aca="false">INT(($A$6/(8*B20))-1)</f>
        <v>0</v>
      </c>
      <c r="G20" s="24" t="n">
        <f aca="false">INT($A$6/(8*(F20+1)))</f>
        <v>2000000</v>
      </c>
      <c r="H20" s="25" t="n">
        <f aca="false">((G20/B20)-1)*100</f>
        <v>0</v>
      </c>
    </row>
    <row r="22" customFormat="false" ht="12.8" hidden="false" customHeight="true" outlineLevel="0" collapsed="false">
      <c r="B22" s="30" t="s">
        <v>9</v>
      </c>
      <c r="C22" s="30"/>
      <c r="D22" s="30"/>
      <c r="E22" s="30"/>
      <c r="F22" s="30"/>
      <c r="G22" s="30"/>
      <c r="H22" s="30"/>
    </row>
    <row r="23" customFormat="false" ht="12.8" hidden="false" customHeight="false" outlineLevel="0" collapsed="false">
      <c r="B23" s="30"/>
      <c r="C23" s="30"/>
      <c r="D23" s="30"/>
      <c r="E23" s="30"/>
      <c r="F23" s="30"/>
      <c r="G23" s="30"/>
      <c r="H23" s="30"/>
    </row>
    <row r="24" customFormat="false" ht="46.25" hidden="false" customHeight="true" outlineLevel="0" collapsed="false">
      <c r="B24" s="30" t="s">
        <v>10</v>
      </c>
      <c r="C24" s="30"/>
      <c r="D24" s="30"/>
      <c r="E24" s="30"/>
      <c r="F24" s="30"/>
      <c r="G24" s="30"/>
      <c r="H24" s="30"/>
    </row>
    <row r="27" customFormat="false" ht="24.45" hidden="false" customHeight="false" outlineLevel="0" collapsed="false">
      <c r="B27" s="1" t="s">
        <v>11</v>
      </c>
      <c r="C27" s="1"/>
      <c r="D27" s="1"/>
      <c r="E27" s="1"/>
      <c r="F27" s="1"/>
      <c r="G27" s="1"/>
      <c r="H27" s="1"/>
    </row>
    <row r="29" customFormat="false" ht="12.8" hidden="false" customHeight="false" outlineLevel="0" collapsed="false">
      <c r="B29" s="11" t="s">
        <v>5</v>
      </c>
      <c r="C29" s="2" t="s">
        <v>12</v>
      </c>
      <c r="D29" s="2"/>
      <c r="E29" s="2"/>
      <c r="F29" s="3" t="s">
        <v>13</v>
      </c>
      <c r="G29" s="3"/>
      <c r="H29" s="3"/>
    </row>
    <row r="30" customFormat="false" ht="12.8" hidden="false" customHeight="false" outlineLevel="0" collapsed="false">
      <c r="B30" s="11" t="n">
        <v>416</v>
      </c>
      <c r="C30" s="31" t="n">
        <f aca="false">$A$6/(16*($B$30+1))</f>
        <v>2398.08153477218</v>
      </c>
      <c r="D30" s="31"/>
      <c r="E30" s="31"/>
      <c r="F30" s="31" t="n">
        <f aca="false">$A$6/(8*($B$30+1))</f>
        <v>4796.16306954437</v>
      </c>
      <c r="G30" s="31"/>
      <c r="H30" s="31"/>
    </row>
  </sheetData>
  <mergeCells count="10">
    <mergeCell ref="B2:H2"/>
    <mergeCell ref="C4:E4"/>
    <mergeCell ref="F4:H4"/>
    <mergeCell ref="B22:H23"/>
    <mergeCell ref="B24:H24"/>
    <mergeCell ref="B27:H27"/>
    <mergeCell ref="C29:E29"/>
    <mergeCell ref="F29:H29"/>
    <mergeCell ref="C30:E30"/>
    <mergeCell ref="F30:H30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2023-03-29T14:22:44Z</dcterms:created>
  <dc:creator/>
  <dc:description/>
  <dc:language>en-GB</dc:language>
  <cp:lastModifiedBy/>
  <dcterms:modified xsi:type="dcterms:W3CDTF">2023-05-13T16:18:18Z</dcterms:modified>
  <cp:revision>11</cp:revision>
  <dc:subject/>
  <dc:title/>
</cp:coreProperties>
</file>